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<sst xmlns="http://schemas.openxmlformats.org/spreadsheetml/2006/main" count="63" uniqueCount="27">
  <si>
    <t xml:space="preserve">Date</t>
  </si>
  <si>
    <t xml:space="preserve">Region</t>
  </si>
  <si>
    <t xml:space="preserve">Product</t>
  </si>
  <si>
    <t xml:space="preserve">Units</t>
  </si>
  <si>
    <t xml:space="preserve">Unit Price</t>
  </si>
  <si>
    <t xml:space="preserve">Revenue</t>
  </si>
  <si>
    <t xml:space="preserve">How the agent updates this file</t>
  </si>
  <si>
    <t xml:space="preserve">North</t>
  </si>
  <si>
    <t xml:space="preserve">Product A</t>
  </si>
  <si>
    <t xml:space="preserve">Add new rows directly beneath the SalesData table (e.g. Power Automate</t>
  </si>
  <si>
    <t xml:space="preserve">South</t>
  </si>
  <si>
    <t xml:space="preserve">Product B</t>
  </si>
  <si>
    <t xml:space="preserve">'Add a row into a table' action, or Copilot Studio + Excel Online connector).</t>
  </si>
  <si>
    <t xml:space="preserve">East</t>
  </si>
  <si>
    <t xml:space="preserve">Revenue (F) is a formula = Units * Unit Price -- leave it as a formula.</t>
  </si>
  <si>
    <t xml:space="preserve">West</t>
  </si>
  <si>
    <t xml:space="preserve">Product C</t>
  </si>
  <si>
    <t xml:space="preserve">The Dashboard tab uses structured table references, so it updates</t>
  </si>
  <si>
    <t xml:space="preserve">automatically as soon as new rows are added -- no manual refresh needed.</t>
  </si>
  <si>
    <t xml:space="preserve">Sales Performance Dashboard</t>
  </si>
  <si>
    <t xml:space="preserve">Live view of the SalesData table -- updates automatically as rows are added</t>
  </si>
  <si>
    <t xml:space="preserve">Total Revenue</t>
  </si>
  <si>
    <t xml:space="preserve">Total Units Sold</t>
  </si>
  <si>
    <t xml:space="preserve">Number of Orders</t>
  </si>
  <si>
    <t xml:space="preserve">Avg Order Value</t>
  </si>
  <si>
    <t xml:space="preserve">Revenue by Region</t>
  </si>
  <si>
    <t xml:space="preserve">Revenue by Product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</si>
</sst>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\£#,##0.00"/>
    <numFmt numFmtId="167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DCE6F1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6E0"/>
      </left>
      <right style="thin">
        <color rgb="FFB7C6E0"/>
      </right>
      <top style="thin">
        <color rgb="FFB7C6E0"/>
      </top>
      <bottom style="thin">
        <color rgb="FFB7C6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E0"/>
      <rgbColor rgb="FF878787"/>
      <rgbColor rgb="FF9999FF"/>
      <rgbColor rgb="FF993366"/>
      <rgbColor rgb="FFF9F9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Dashboard!$B$12:$B$15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Dashboard!$C$12:$C$15</c:f>
              <c:numCache>
                <c:formatCode>\£#,##0.00</c:formatCode>
                <c:ptCount val="4"/>
                <c:pt idx="0">
                  <c:v>2400</c:v>
                </c:pt>
                <c:pt idx="1">
                  <c:v>2700</c:v>
                </c:pt>
                <c:pt idx="2">
                  <c:v>2325</c:v>
                </c:pt>
                <c:pt idx="3">
                  <c:v>1515</c:v>
                </c:pt>
              </c:numCache>
            </c:numRef>
          </c:val>
        </c:ser>
        <c:gapWidth val="150"/>
        <c:overlap val="0"/>
        <c:axId val="28281218"/>
        <c:axId val="56088335"/>
      </c:barChart>
      <c:catAx>
        <c:axId val="282812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088335"/>
        <c:crosses val="autoZero"/>
        <c:auto val="1"/>
        <c:lblAlgn val="ctr"/>
        <c:lblOffset val="100"/>
        <c:noMultiLvlLbl val="0"/>
      </c:catAx>
      <c:valAx>
        <c:axId val="560883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2812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Dashboard!G11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Dashboard!$F$12:$F$14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Dashboard!$G$12:$G$14</c:f>
              <c:numCache>
                <c:formatCode>\£#,##0.00</c:formatCode>
                <c:ptCount val="3"/>
                <c:pt idx="0">
                  <c:v>3600</c:v>
                </c:pt>
                <c:pt idx="1">
                  <c:v>3360</c:v>
                </c:pt>
                <c:pt idx="2">
                  <c:v>1980</c:v>
                </c:pt>
              </c:numCache>
            </c:numRef>
          </c:val>
        </c:ser>
        <c:gapWidth val="150"/>
        <c:overlap val="0"/>
        <c:axId val="90553603"/>
        <c:axId val="63404031"/>
      </c:barChart>
      <c:catAx>
        <c:axId val="905536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404031"/>
        <c:crosses val="autoZero"/>
        <c:auto val="1"/>
        <c:lblAlgn val="ctr"/>
        <c:lblOffset val="100"/>
        <c:noMultiLvlLbl val="0"/>
      </c:catAx>
      <c:valAx>
        <c:axId val="634040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5536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</xdr:row>
      <xdr:rowOff>100800</xdr:rowOff>
    </xdr:from>
    <xdr:to>
      <xdr:col>9</xdr:col>
      <xdr:colOff>120960</xdr:colOff>
      <xdr:row>34</xdr:row>
      <xdr:rowOff>102240</xdr:rowOff>
    </xdr:to>
    <xdr:graphicFrame>
      <xdr:nvGraphicFramePr>
        <xdr:cNvPr id="0" name="Chart 1"/>
        <xdr:cNvGraphicFramePr/>
      </xdr:nvGraphicFramePr>
      <xdr:xfrm>
        <a:off x="611640" y="3429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35</xdr:row>
      <xdr:rowOff>100800</xdr:rowOff>
    </xdr:from>
    <xdr:to>
      <xdr:col>9</xdr:col>
      <xdr:colOff>120960</xdr:colOff>
      <xdr:row>52</xdr:row>
      <xdr:rowOff>102240</xdr:rowOff>
    </xdr:to>
    <xdr:graphicFrame>
      <xdr:nvGraphicFramePr>
        <xdr:cNvPr id="1" name="Chart 2"/>
        <xdr:cNvGraphicFramePr/>
      </xdr:nvGraphicFramePr>
      <xdr:xfrm>
        <a:off x="611640" y="6858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F16" headerRowCount="1" totalsRowCount="0" totalsRowShown="0">
  <autoFilter ref="A1:F16"/>
  <tableColumns count="6">
    <tableColumn id="1" name="Date"/>
    <tableColumn id="2" name="Region"/>
    <tableColumn id="3" name="Product"/>
    <tableColumn id="4" name="Units"/>
    <tableColumn id="5" name="Unit Price"/>
    <tableColumn id="6" name="Revenu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customFormat="false" ht="15" hidden="false" customHeight="false" outlineLevel="0" collapsed="false">
      <c r="A2" s="3" t="n">
        <v>46204</v>
      </c>
      <c r="B2" s="4" t="s">
        <v>7</v>
      </c>
      <c r="C2" s="4" t="s">
        <v>8</v>
      </c>
      <c r="D2" s="4" t="n">
        <v>12</v>
      </c>
      <c r="E2" s="5" t="n">
        <v>45</v>
      </c>
      <c r="F2" s="5" t="n">
        <f aca="false">D2*E2</f>
        <v>540</v>
      </c>
      <c r="H2" s="6" t="s">
        <v>9</v>
      </c>
    </row>
    <row r="3" customFormat="false" ht="15" hidden="false" customHeight="false" outlineLevel="0" collapsed="false">
      <c r="A3" s="3" t="n">
        <v>46205</v>
      </c>
      <c r="B3" s="4" t="s">
        <v>10</v>
      </c>
      <c r="C3" s="4" t="s">
        <v>11</v>
      </c>
      <c r="D3" s="4" t="n">
        <v>8</v>
      </c>
      <c r="E3" s="5" t="n">
        <v>60</v>
      </c>
      <c r="F3" s="5" t="n">
        <f aca="false">D3*E3</f>
        <v>480</v>
      </c>
      <c r="H3" s="6" t="s">
        <v>12</v>
      </c>
    </row>
    <row r="4" customFormat="false" ht="15" hidden="false" customHeight="false" outlineLevel="0" collapsed="false">
      <c r="A4" s="3" t="n">
        <v>46206</v>
      </c>
      <c r="B4" s="4" t="s">
        <v>13</v>
      </c>
      <c r="C4" s="4" t="s">
        <v>8</v>
      </c>
      <c r="D4" s="4" t="n">
        <v>15</v>
      </c>
      <c r="E4" s="5" t="n">
        <v>45</v>
      </c>
      <c r="F4" s="5" t="n">
        <f aca="false">D4*E4</f>
        <v>675</v>
      </c>
      <c r="H4" s="6" t="s">
        <v>14</v>
      </c>
    </row>
    <row r="5" customFormat="false" ht="15" hidden="false" customHeight="false" outlineLevel="0" collapsed="false">
      <c r="A5" s="3" t="n">
        <v>46207</v>
      </c>
      <c r="B5" s="4" t="s">
        <v>15</v>
      </c>
      <c r="C5" s="4" t="s">
        <v>16</v>
      </c>
      <c r="D5" s="4" t="n">
        <v>5</v>
      </c>
      <c r="E5" s="5" t="n">
        <v>90</v>
      </c>
      <c r="F5" s="5" t="n">
        <f aca="false">D5*E5</f>
        <v>450</v>
      </c>
      <c r="H5" s="6" t="s">
        <v>17</v>
      </c>
    </row>
    <row r="6" customFormat="false" ht="15" hidden="false" customHeight="false" outlineLevel="0" collapsed="false">
      <c r="A6" s="3" t="n">
        <v>46209</v>
      </c>
      <c r="B6" s="4" t="s">
        <v>7</v>
      </c>
      <c r="C6" s="4" t="s">
        <v>11</v>
      </c>
      <c r="D6" s="4" t="n">
        <v>10</v>
      </c>
      <c r="E6" s="5" t="n">
        <v>60</v>
      </c>
      <c r="F6" s="5" t="n">
        <f aca="false">D6*E6</f>
        <v>600</v>
      </c>
      <c r="H6" s="6" t="s">
        <v>18</v>
      </c>
    </row>
    <row r="7" customFormat="false" ht="15" hidden="false" customHeight="false" outlineLevel="0" collapsed="false">
      <c r="A7" s="3" t="n">
        <v>46210</v>
      </c>
      <c r="B7" s="4" t="s">
        <v>10</v>
      </c>
      <c r="C7" s="4" t="s">
        <v>16</v>
      </c>
      <c r="D7" s="4" t="n">
        <v>7</v>
      </c>
      <c r="E7" s="5" t="n">
        <v>90</v>
      </c>
      <c r="F7" s="5" t="n">
        <f aca="false">D7*E7</f>
        <v>630</v>
      </c>
    </row>
    <row r="8" customFormat="false" ht="15" hidden="false" customHeight="false" outlineLevel="0" collapsed="false">
      <c r="A8" s="3" t="n">
        <v>46211</v>
      </c>
      <c r="B8" s="4" t="s">
        <v>13</v>
      </c>
      <c r="C8" s="4" t="s">
        <v>11</v>
      </c>
      <c r="D8" s="4" t="n">
        <v>14</v>
      </c>
      <c r="E8" s="5" t="n">
        <v>60</v>
      </c>
      <c r="F8" s="5" t="n">
        <f aca="false">D8*E8</f>
        <v>840</v>
      </c>
    </row>
    <row r="9" customFormat="false" ht="15" hidden="false" customHeight="false" outlineLevel="0" collapsed="false">
      <c r="A9" s="3" t="n">
        <v>46212</v>
      </c>
      <c r="B9" s="4" t="s">
        <v>15</v>
      </c>
      <c r="C9" s="4" t="s">
        <v>8</v>
      </c>
      <c r="D9" s="4" t="n">
        <v>9</v>
      </c>
      <c r="E9" s="5" t="n">
        <v>45</v>
      </c>
      <c r="F9" s="5" t="n">
        <f aca="false">D9*E9</f>
        <v>405</v>
      </c>
    </row>
    <row r="10" customFormat="false" ht="15" hidden="false" customHeight="false" outlineLevel="0" collapsed="false">
      <c r="A10" s="3" t="n">
        <v>46214</v>
      </c>
      <c r="B10" s="4" t="s">
        <v>7</v>
      </c>
      <c r="C10" s="4" t="s">
        <v>16</v>
      </c>
      <c r="D10" s="4" t="n">
        <v>6</v>
      </c>
      <c r="E10" s="5" t="n">
        <v>90</v>
      </c>
      <c r="F10" s="5" t="n">
        <f aca="false">D10*E10</f>
        <v>540</v>
      </c>
    </row>
    <row r="11" customFormat="false" ht="15" hidden="false" customHeight="false" outlineLevel="0" collapsed="false">
      <c r="A11" s="3" t="n">
        <v>46215</v>
      </c>
      <c r="B11" s="4" t="s">
        <v>10</v>
      </c>
      <c r="C11" s="4" t="s">
        <v>8</v>
      </c>
      <c r="D11" s="4" t="n">
        <v>18</v>
      </c>
      <c r="E11" s="5" t="n">
        <v>45</v>
      </c>
      <c r="F11" s="5" t="n">
        <f aca="false">D11*E11</f>
        <v>810</v>
      </c>
    </row>
    <row r="12" customFormat="false" ht="15" hidden="false" customHeight="false" outlineLevel="0" collapsed="false">
      <c r="A12" s="3" t="n">
        <v>46216</v>
      </c>
      <c r="B12" s="4" t="s">
        <v>13</v>
      </c>
      <c r="C12" s="4" t="s">
        <v>16</v>
      </c>
      <c r="D12" s="4" t="n">
        <v>4</v>
      </c>
      <c r="E12" s="5" t="n">
        <v>90</v>
      </c>
      <c r="F12" s="5" t="n">
        <f aca="false">D12*E12</f>
        <v>360</v>
      </c>
    </row>
    <row r="13" customFormat="false" ht="15" hidden="false" customHeight="false" outlineLevel="0" collapsed="false">
      <c r="A13" s="3" t="n">
        <v>46217</v>
      </c>
      <c r="B13" s="4" t="s">
        <v>15</v>
      </c>
      <c r="C13" s="4" t="s">
        <v>11</v>
      </c>
      <c r="D13" s="4" t="n">
        <v>11</v>
      </c>
      <c r="E13" s="5" t="n">
        <v>60</v>
      </c>
      <c r="F13" s="5" t="n">
        <f aca="false">D13*E13</f>
        <v>660</v>
      </c>
    </row>
    <row r="14" customFormat="false" ht="15" hidden="false" customHeight="false" outlineLevel="0" collapsed="false">
      <c r="A14" s="3" t="n">
        <v>46218</v>
      </c>
      <c r="B14" s="4" t="s">
        <v>7</v>
      </c>
      <c r="C14" s="4" t="s">
        <v>8</v>
      </c>
      <c r="D14" s="4" t="n">
        <v>16</v>
      </c>
      <c r="E14" s="5" t="n">
        <v>45</v>
      </c>
      <c r="F14" s="5" t="n">
        <f aca="false">D14*E14</f>
        <v>720</v>
      </c>
    </row>
    <row r="15" customFormat="false" ht="15" hidden="false" customHeight="false" outlineLevel="0" collapsed="false">
      <c r="A15" s="3" t="n">
        <v>46219</v>
      </c>
      <c r="B15" s="4" t="s">
        <v>10</v>
      </c>
      <c r="C15" s="4" t="s">
        <v>11</v>
      </c>
      <c r="D15" s="4" t="n">
        <v>13</v>
      </c>
      <c r="E15" s="5" t="n">
        <v>60</v>
      </c>
      <c r="F15" s="5" t="n">
        <f aca="false">D15*E15</f>
        <v>780</v>
      </c>
    </row>
    <row r="16" customFormat="false" ht="15" hidden="false" customHeight="false" outlineLevel="0" collapsed="false">
      <c r="A16" s="3" t="n">
        <v>46221</v>
      </c>
      <c r="B16" s="4" t="s">
        <v>13</v>
      </c>
      <c r="C16" s="4" t="s">
        <v>8</v>
      </c>
      <c r="D16" s="4" t="n">
        <v>10</v>
      </c>
      <c r="E16" s="5" t="n">
        <v>45</v>
      </c>
      <c r="F16" s="5" t="n">
        <f aca="false">D16*E16</f>
        <v>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4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4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4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10"/>
  </cols>
  <sheetData>
    <row r="2" customFormat="false" ht="22.05" hidden="false" customHeight="false" outlineLevel="0" collapsed="false">
      <c r="B2" s="7" t="s">
        <v>19</v>
      </c>
    </row>
    <row r="3" customFormat="false" ht="15" hidden="false" customHeight="false" outlineLevel="0" collapsed="false">
      <c r="B3" s="8" t="s">
        <v>20</v>
      </c>
    </row>
    <row r="5" customFormat="false" ht="15" hidden="false" customHeight="false" outlineLevel="0" collapsed="false">
      <c r="B5" s="9" t="s">
        <v>21</v>
      </c>
      <c r="C5" s="9"/>
      <c r="D5" s="9"/>
      <c r="F5" s="9" t="s">
        <v>22</v>
      </c>
      <c r="G5" s="9"/>
      <c r="H5" s="9"/>
      <c r="J5" s="9" t="s">
        <v>23</v>
      </c>
      <c r="K5" s="9"/>
      <c r="L5" s="9"/>
      <c r="N5" s="9" t="s">
        <v>24</v>
      </c>
      <c r="O5" s="9"/>
      <c r="P5" s="9"/>
    </row>
    <row r="6" customFormat="false" ht="15" hidden="false" customHeight="false" outlineLevel="0" collapsed="false">
      <c r="B6" s="10" t="n">
        <f aca="false">SUM(SalesData[Revenue])</f>
        <v>8940</v>
      </c>
      <c r="C6" s="10"/>
      <c r="D6" s="10"/>
      <c r="F6" s="11" t="n">
        <f aca="false">SUM(SalesData[Units])</f>
        <v>158</v>
      </c>
      <c r="G6" s="11"/>
      <c r="H6" s="11"/>
      <c r="J6" s="11" t="n">
        <f aca="false">SUBTOTAL(103,SalesData[Date])</f>
        <v>15</v>
      </c>
      <c r="K6" s="11"/>
      <c r="L6" s="11"/>
      <c r="N6" s="10" t="n">
        <f aca="false">SUM(SalesData[Revenue])/SUBTOTAL(103,SalesData[Date])</f>
        <v>596</v>
      </c>
      <c r="O6" s="10"/>
      <c r="P6" s="10"/>
    </row>
    <row r="7" customFormat="false" ht="15" hidden="false" customHeight="false" outlineLevel="0" collapsed="false">
      <c r="B7" s="10"/>
      <c r="C7" s="10"/>
      <c r="D7" s="10"/>
      <c r="F7" s="11"/>
      <c r="G7" s="11"/>
      <c r="H7" s="11"/>
      <c r="J7" s="11"/>
      <c r="K7" s="11"/>
      <c r="L7" s="11"/>
      <c r="N7" s="10"/>
      <c r="O7" s="10"/>
      <c r="P7" s="10"/>
    </row>
    <row r="10" customFormat="false" ht="15" hidden="false" customHeight="false" outlineLevel="0" collapsed="false">
      <c r="B10" s="12" t="s">
        <v>25</v>
      </c>
      <c r="F10" s="12" t="s">
        <v>26</v>
      </c>
    </row>
    <row r="11" customFormat="false" ht="15" hidden="false" customHeight="false" outlineLevel="0" collapsed="false">
      <c r="B11" s="1" t="s">
        <v>1</v>
      </c>
      <c r="C11" s="1" t="s">
        <v>5</v>
      </c>
      <c r="D11" s="1" t="s">
        <v>3</v>
      </c>
      <c r="F11" s="1" t="s">
        <v>2</v>
      </c>
      <c r="G11" s="1" t="s">
        <v>5</v>
      </c>
      <c r="H11" s="1" t="s">
        <v>3</v>
      </c>
    </row>
    <row r="12" customFormat="false" ht="15" hidden="false" customHeight="false" outlineLevel="0" collapsed="false">
      <c r="B12" s="13" t="s">
        <v>7</v>
      </c>
      <c r="C12" s="14" t="n">
        <f aca="false">SUMIFS(SalesData[Revenue],SalesData[Region],B12)</f>
        <v>2400</v>
      </c>
      <c r="D12" s="15" t="n">
        <f aca="false">SUMIFS(SalesData[Units],SalesData[Region],B12)</f>
        <v>44</v>
      </c>
      <c r="F12" s="13" t="s">
        <v>8</v>
      </c>
      <c r="G12" s="14" t="n">
        <f aca="false">SUMIFS(SalesData[Revenue],SalesData[Product],F12)</f>
        <v>3600</v>
      </c>
      <c r="H12" s="15" t="n">
        <f aca="false">SUMIFS(SalesData[Units],SalesData[Product],F12)</f>
        <v>80</v>
      </c>
    </row>
    <row r="13" customFormat="false" ht="15" hidden="false" customHeight="false" outlineLevel="0" collapsed="false">
      <c r="B13" s="16" t="s">
        <v>10</v>
      </c>
      <c r="C13" s="17" t="n">
        <f aca="false">SUMIFS(SalesData[Revenue],SalesData[Region],B13)</f>
        <v>2700</v>
      </c>
      <c r="D13" s="18" t="n">
        <f aca="false">SUMIFS(SalesData[Units],SalesData[Region],B13)</f>
        <v>46</v>
      </c>
      <c r="F13" s="16" t="s">
        <v>11</v>
      </c>
      <c r="G13" s="17" t="n">
        <f aca="false">SUMIFS(SalesData[Revenue],SalesData[Product],F13)</f>
        <v>3360</v>
      </c>
      <c r="H13" s="18" t="n">
        <f aca="false">SUMIFS(SalesData[Units],SalesData[Product],F13)</f>
        <v>56</v>
      </c>
    </row>
    <row r="14" customFormat="false" ht="15" hidden="false" customHeight="false" outlineLevel="0" collapsed="false">
      <c r="B14" s="13" t="s">
        <v>13</v>
      </c>
      <c r="C14" s="14" t="n">
        <f aca="false">SUMIFS(SalesData[Revenue],SalesData[Region],B14)</f>
        <v>2325</v>
      </c>
      <c r="D14" s="15" t="n">
        <f aca="false">SUMIFS(SalesData[Units],SalesData[Region],B14)</f>
        <v>43</v>
      </c>
      <c r="F14" s="13" t="s">
        <v>16</v>
      </c>
      <c r="G14" s="14" t="n">
        <f aca="false">SUMIFS(SalesData[Revenue],SalesData[Product],F14)</f>
        <v>1980</v>
      </c>
      <c r="H14" s="15" t="n">
        <f aca="false">SUMIFS(SalesData[Units],SalesData[Product],F14)</f>
        <v>22</v>
      </c>
    </row>
    <row r="15" customFormat="false" ht="15" hidden="false" customHeight="false" outlineLevel="0" collapsed="false">
      <c r="B15" s="16" t="s">
        <v>15</v>
      </c>
      <c r="C15" s="17" t="n">
        <f aca="false">SUMIFS(SalesData[Revenue],SalesData[Region],B15)</f>
        <v>1515</v>
      </c>
      <c r="D15" s="18" t="n">
        <f aca="false">SUMIFS(SalesData[Units],SalesData[Region],B15)</f>
        <v>25</v>
      </c>
    </row>
  </sheetData>
  <mergeCells count="8">
    <mergeCell ref="B5:D5"/>
    <mergeCell ref="F5:H5"/>
    <mergeCell ref="J5:L5"/>
    <mergeCell ref="N5:P5"/>
    <mergeCell ref="B6:D7"/>
    <mergeCell ref="F6:H7"/>
    <mergeCell ref="J6:L7"/>
    <mergeCell ref="N6:P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2026-09-18T12:18:29Z</dcterms:created>
  <dc:creator>openpyxl</dc:creator>
  <dc:description/>
  <dc:language>en-US</dc:language>
  <cp:lastModifiedBy/>
  <dcterms:modified xsi:type="dcterms:W3CDTF">2026-09-18T12:18:31Z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